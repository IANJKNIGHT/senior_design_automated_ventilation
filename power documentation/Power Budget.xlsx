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05EE1D82-6C79-4D82-801E-4E91372C1866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Ian Fan Data" sheetId="1" r:id="rId1"/>
    <sheet name="&quot;Budget&quot;" sheetId="3" r:id="rId2"/>
    <sheet name="Runtime Predictions" sheetId="2" r:id="rId3"/>
    <sheet name="Solar Sizing" sheetId="4" r:id="rId4"/>
    <sheet name="Hydro Sizing" sheetId="5" r:id="rId5"/>
    <sheet name="Wind Sizin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4" l="1"/>
  <c r="D5" i="5"/>
  <c r="D10" i="4"/>
  <c r="D11" i="4" s="1"/>
  <c r="H19" i="3"/>
  <c r="B5" i="3"/>
  <c r="F9" i="3"/>
  <c r="H9" i="3" s="1"/>
  <c r="F10" i="3"/>
  <c r="H10" i="3" s="1"/>
  <c r="H13" i="3"/>
  <c r="H14" i="3" s="1"/>
  <c r="G12" i="1"/>
  <c r="G11" i="1"/>
  <c r="G10" i="1"/>
  <c r="G9" i="1"/>
  <c r="G8" i="1"/>
  <c r="G7" i="1"/>
  <c r="G6" i="1"/>
  <c r="H18" i="3" l="1"/>
</calcChain>
</file>

<file path=xl/sharedStrings.xml><?xml version="1.0" encoding="utf-8"?>
<sst xmlns="http://schemas.openxmlformats.org/spreadsheetml/2006/main" count="100" uniqueCount="64">
  <si>
    <t>Temp (deg C)</t>
  </si>
  <si>
    <t>Humidity (%)</t>
  </si>
  <si>
    <t>Duty Cycle</t>
  </si>
  <si>
    <t>Fan Power Consumption (mW)</t>
  </si>
  <si>
    <t>PWM %:</t>
  </si>
  <si>
    <t>avg. P (W):</t>
  </si>
  <si>
    <t>Panel Details:</t>
  </si>
  <si>
    <t>RNG-KIT-RV200D-ADV30</t>
  </si>
  <si>
    <t>Panel (W):</t>
  </si>
  <si>
    <t xml:space="preserve">Battery (V): </t>
  </si>
  <si>
    <t>Batter (Ah):</t>
  </si>
  <si>
    <t>Battery (Wh):</t>
  </si>
  <si>
    <t>3 FAN</t>
  </si>
  <si>
    <t>Component</t>
  </si>
  <si>
    <t>Voltage (V)</t>
  </si>
  <si>
    <t>Current (A)</t>
  </si>
  <si>
    <t>Power (W)</t>
  </si>
  <si>
    <t>Duty Cycle (%)</t>
  </si>
  <si>
    <t>Avg Power (W)</t>
  </si>
  <si>
    <t>Notes:</t>
  </si>
  <si>
    <t>ESP32-S3</t>
  </si>
  <si>
    <t>ESP32-S3 dev board</t>
  </si>
  <si>
    <t>Temperature/Humidity Sensor</t>
  </si>
  <si>
    <t>DHT11</t>
  </si>
  <si>
    <t>Telemetry Module</t>
  </si>
  <si>
    <t>Fan #1</t>
  </si>
  <si>
    <t>/</t>
  </si>
  <si>
    <t>Why 60%?</t>
  </si>
  <si>
    <t>Fan #2</t>
  </si>
  <si>
    <t>Fan #3</t>
  </si>
  <si>
    <t>Current Sensor (INA169)</t>
  </si>
  <si>
    <t xml:space="preserve">Buck Converters </t>
  </si>
  <si>
    <t>Miscellaneous Losses</t>
  </si>
  <si>
    <t>Total Avg. Power Consumption</t>
  </si>
  <si>
    <t xml:space="preserve">W </t>
  </si>
  <si>
    <t>Worst Case</t>
  </si>
  <si>
    <t>Wh/day</t>
  </si>
  <si>
    <t xml:space="preserve">Design Load </t>
  </si>
  <si>
    <t>1 day backup</t>
  </si>
  <si>
    <t>Battery Capacity</t>
  </si>
  <si>
    <t>design case / 24</t>
  </si>
  <si>
    <t>2 days backup</t>
  </si>
  <si>
    <t>(2xdesign case)/24</t>
  </si>
  <si>
    <t>2 FANS</t>
  </si>
  <si>
    <t># fans:</t>
  </si>
  <si>
    <t>PWM (Duty Cycle)</t>
  </si>
  <si>
    <t>P Consumed</t>
  </si>
  <si>
    <t xml:space="preserve">Runtime </t>
  </si>
  <si>
    <t>X fans:</t>
  </si>
  <si>
    <t>Runtime (@ PWM)</t>
  </si>
  <si>
    <t>panel in ARMS:</t>
  </si>
  <si>
    <t>Avg. Load</t>
  </si>
  <si>
    <t>needs verifying</t>
  </si>
  <si>
    <t>Avg. Sun Hours</t>
  </si>
  <si>
    <t>hr/day</t>
  </si>
  <si>
    <t>Required Panel</t>
  </si>
  <si>
    <t>W</t>
  </si>
  <si>
    <t>With Satefy Factor</t>
  </si>
  <si>
    <t>recommended size, around 100 W</t>
  </si>
  <si>
    <t>hydro energy eq.: P=ρgQHη</t>
  </si>
  <si>
    <t>Avg. Power</t>
  </si>
  <si>
    <t>needs to generate this continuously</t>
  </si>
  <si>
    <t>Example Cases:</t>
  </si>
  <si>
    <t xml:space="preserve">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</si>
</sst>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14" xfId="0" applyNumberFormat="1" applyBorder="1"/>
    <xf numFmtId="164" fontId="0" fillId="0" borderId="6" xfId="0" applyNumberFormat="1" applyBorder="1"/>
    <xf numFmtId="0" fontId="0" fillId="2" borderId="1" xfId="0" applyFill="1" applyBorder="1"/>
    <xf numFmtId="0" fontId="0" fillId="0" borderId="0" xfId="0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workbookViewId="0">
      <selection activeCell="G8" sqref="G8"/>
    </sheetView>
  </sheetViews>
  <sheetFormatPr defaultRowHeight="15"/>
  <cols>
    <col min="1" max="1" width="12" customWidth="1"/>
    <col min="2" max="2" width="12.5703125" customWidth="1"/>
    <col min="3" max="3" width="9.85546875" customWidth="1"/>
    <col min="4" max="4" width="17.85546875" customWidth="1"/>
    <col min="6" max="6" width="8" customWidth="1"/>
    <col min="7" max="7" width="9.7109375" customWidth="1"/>
  </cols>
  <sheetData>
    <row r="1" spans="1:7" ht="30.75">
      <c r="A1" s="2" t="s">
        <v>0</v>
      </c>
      <c r="B1" s="2" t="s">
        <v>1</v>
      </c>
      <c r="C1" s="2" t="s">
        <v>2</v>
      </c>
      <c r="D1" s="2" t="s">
        <v>3</v>
      </c>
    </row>
    <row r="2" spans="1:7">
      <c r="A2" s="4">
        <v>24</v>
      </c>
      <c r="B2" s="4">
        <v>69</v>
      </c>
      <c r="C2" s="4">
        <v>70</v>
      </c>
      <c r="D2" s="4">
        <v>-1.2</v>
      </c>
      <c r="F2" t="s">
        <v>4</v>
      </c>
      <c r="G2" t="s">
        <v>5</v>
      </c>
    </row>
    <row r="3" spans="1:7">
      <c r="A3" s="4">
        <v>24</v>
      </c>
      <c r="B3" s="4">
        <v>69</v>
      </c>
      <c r="C3" s="4">
        <v>80</v>
      </c>
      <c r="D3" s="4">
        <v>1.2</v>
      </c>
      <c r="F3">
        <v>10</v>
      </c>
      <c r="G3" s="5">
        <v>0.81699999999999995</v>
      </c>
    </row>
    <row r="4" spans="1:7">
      <c r="A4" s="1">
        <v>24</v>
      </c>
      <c r="B4" s="1">
        <v>69</v>
      </c>
      <c r="C4" s="1">
        <v>80</v>
      </c>
      <c r="D4" s="1">
        <v>1532.4</v>
      </c>
      <c r="F4">
        <v>20</v>
      </c>
      <c r="G4" s="5">
        <v>0.51700000000000002</v>
      </c>
    </row>
    <row r="5" spans="1:7">
      <c r="A5" s="1">
        <v>24</v>
      </c>
      <c r="B5" s="1">
        <v>69</v>
      </c>
      <c r="C5" s="1">
        <v>90</v>
      </c>
      <c r="D5" s="1">
        <v>4008</v>
      </c>
      <c r="F5">
        <v>30</v>
      </c>
      <c r="G5" s="5">
        <v>0.68100000000000005</v>
      </c>
    </row>
    <row r="6" spans="1:7">
      <c r="A6" s="1">
        <v>24</v>
      </c>
      <c r="B6" s="1">
        <v>69</v>
      </c>
      <c r="C6" s="1">
        <v>100</v>
      </c>
      <c r="D6" s="1">
        <v>7268.4</v>
      </c>
      <c r="F6">
        <v>40</v>
      </c>
      <c r="G6">
        <f>(D13+D23+D38+D48)/4000</f>
        <v>1.3130999999999999</v>
      </c>
    </row>
    <row r="7" spans="1:7">
      <c r="A7" s="1">
        <v>24</v>
      </c>
      <c r="B7" s="1">
        <v>69</v>
      </c>
      <c r="C7" s="1">
        <v>90</v>
      </c>
      <c r="D7" s="1">
        <v>5414.4</v>
      </c>
      <c r="F7">
        <v>50</v>
      </c>
      <c r="G7">
        <f>(D12+D24+D37)/3000</f>
        <v>1.4716</v>
      </c>
    </row>
    <row r="8" spans="1:7">
      <c r="A8" s="1">
        <v>24</v>
      </c>
      <c r="B8" s="1">
        <v>69</v>
      </c>
      <c r="C8" s="1">
        <v>80</v>
      </c>
      <c r="D8" s="1">
        <v>4348.8</v>
      </c>
      <c r="F8">
        <v>60</v>
      </c>
      <c r="G8" s="5">
        <f>(D11+D25+D26+D35+D36)/5000</f>
        <v>2.6169599999999997</v>
      </c>
    </row>
    <row r="9" spans="1:7">
      <c r="A9" s="1">
        <v>24</v>
      </c>
      <c r="B9" s="1">
        <v>69</v>
      </c>
      <c r="C9" s="1">
        <v>70</v>
      </c>
      <c r="D9" s="1">
        <v>4237.2</v>
      </c>
      <c r="F9">
        <v>70</v>
      </c>
      <c r="G9">
        <f>(D9+D10+D27+D34)/4000</f>
        <v>3.3561000000000001</v>
      </c>
    </row>
    <row r="10" spans="1:7">
      <c r="A10" s="1">
        <v>24</v>
      </c>
      <c r="B10" s="1">
        <v>69</v>
      </c>
      <c r="C10" s="1">
        <v>70</v>
      </c>
      <c r="D10" s="1">
        <v>2750.4</v>
      </c>
      <c r="F10">
        <v>80</v>
      </c>
      <c r="G10">
        <f>(D8+D4+D28+D33)/4000</f>
        <v>3.6012000000000004</v>
      </c>
    </row>
    <row r="11" spans="1:7">
      <c r="A11" s="1">
        <v>24</v>
      </c>
      <c r="B11" s="1">
        <v>69</v>
      </c>
      <c r="C11" s="1">
        <v>60</v>
      </c>
      <c r="D11" s="1">
        <v>1335.6</v>
      </c>
      <c r="F11">
        <v>90</v>
      </c>
      <c r="G11">
        <f>(D5+D7+D29+D32)/4000</f>
        <v>5.5538999999999996</v>
      </c>
    </row>
    <row r="12" spans="1:7">
      <c r="A12" s="1">
        <v>24</v>
      </c>
      <c r="B12" s="1">
        <v>69</v>
      </c>
      <c r="C12" s="1">
        <v>50</v>
      </c>
      <c r="D12" s="1">
        <v>1297.2</v>
      </c>
      <c r="F12">
        <v>100</v>
      </c>
      <c r="G12">
        <f>(D6+D30+D31)/3000</f>
        <v>7.0115999999999996</v>
      </c>
    </row>
    <row r="13" spans="1:7">
      <c r="A13" s="1">
        <v>24</v>
      </c>
      <c r="B13" s="1">
        <v>69</v>
      </c>
      <c r="C13" s="1">
        <v>40</v>
      </c>
      <c r="D13" s="1">
        <v>1297.2</v>
      </c>
    </row>
    <row r="14" spans="1:7">
      <c r="A14" s="1">
        <v>24</v>
      </c>
      <c r="B14" s="1">
        <v>69</v>
      </c>
      <c r="C14" s="1">
        <v>30</v>
      </c>
      <c r="D14" s="1">
        <v>715.2</v>
      </c>
    </row>
    <row r="15" spans="1:7">
      <c r="A15" s="1">
        <v>24</v>
      </c>
      <c r="B15" s="1">
        <v>69</v>
      </c>
      <c r="C15" s="1">
        <v>30</v>
      </c>
      <c r="D15" s="1">
        <v>868.8</v>
      </c>
    </row>
    <row r="16" spans="1:7">
      <c r="A16" s="1">
        <v>24</v>
      </c>
      <c r="B16" s="1">
        <v>69</v>
      </c>
      <c r="C16" s="1">
        <v>20</v>
      </c>
      <c r="D16" s="1">
        <v>459.6</v>
      </c>
    </row>
    <row r="17" spans="1:4">
      <c r="A17" s="1">
        <v>24</v>
      </c>
      <c r="B17" s="1">
        <v>69</v>
      </c>
      <c r="C17" s="1">
        <v>10</v>
      </c>
      <c r="D17" s="1">
        <v>415.2</v>
      </c>
    </row>
    <row r="18" spans="1:4">
      <c r="A18" s="1">
        <v>24</v>
      </c>
      <c r="B18" s="1">
        <v>69</v>
      </c>
      <c r="C18" s="1">
        <v>0</v>
      </c>
      <c r="D18" s="1">
        <v>288</v>
      </c>
    </row>
    <row r="19" spans="1:4">
      <c r="A19" s="1">
        <v>24</v>
      </c>
      <c r="B19" s="1">
        <v>69</v>
      </c>
      <c r="C19" s="1">
        <v>10</v>
      </c>
      <c r="D19" s="1">
        <v>1567.2</v>
      </c>
    </row>
    <row r="20" spans="1:4">
      <c r="A20" s="1">
        <v>24</v>
      </c>
      <c r="B20" s="1">
        <v>69</v>
      </c>
      <c r="C20" s="1">
        <v>10</v>
      </c>
      <c r="D20" s="1">
        <v>661.2</v>
      </c>
    </row>
    <row r="21" spans="1:4">
      <c r="A21" s="1">
        <v>24</v>
      </c>
      <c r="B21" s="1">
        <v>69</v>
      </c>
      <c r="C21" s="1">
        <v>20</v>
      </c>
      <c r="D21" s="1">
        <v>556.79999999999995</v>
      </c>
    </row>
    <row r="22" spans="1:4">
      <c r="A22" s="1">
        <v>24</v>
      </c>
      <c r="B22" s="1">
        <v>69</v>
      </c>
      <c r="C22" s="1">
        <v>30</v>
      </c>
      <c r="D22" s="1">
        <v>594</v>
      </c>
    </row>
    <row r="23" spans="1:4">
      <c r="A23" s="1">
        <v>24</v>
      </c>
      <c r="B23" s="1">
        <v>69</v>
      </c>
      <c r="C23" s="1">
        <v>40</v>
      </c>
      <c r="D23" s="1">
        <v>908.4</v>
      </c>
    </row>
    <row r="24" spans="1:4">
      <c r="A24" s="1">
        <v>24</v>
      </c>
      <c r="B24" s="1">
        <v>69</v>
      </c>
      <c r="C24" s="1">
        <v>50</v>
      </c>
      <c r="D24" s="1">
        <v>1048.8</v>
      </c>
    </row>
    <row r="25" spans="1:4">
      <c r="A25" s="1">
        <v>24</v>
      </c>
      <c r="B25" s="1">
        <v>69</v>
      </c>
      <c r="C25" s="1">
        <v>60</v>
      </c>
      <c r="D25" s="1">
        <v>3532.8</v>
      </c>
    </row>
    <row r="26" spans="1:4">
      <c r="A26" s="1">
        <v>24</v>
      </c>
      <c r="B26" s="1">
        <v>69</v>
      </c>
      <c r="C26" s="1">
        <v>60</v>
      </c>
      <c r="D26" s="1">
        <v>3726</v>
      </c>
    </row>
    <row r="27" spans="1:4">
      <c r="A27" s="1">
        <v>24</v>
      </c>
      <c r="B27" s="1">
        <v>69</v>
      </c>
      <c r="C27" s="1">
        <v>70</v>
      </c>
      <c r="D27" s="1">
        <v>4628.3999999999996</v>
      </c>
    </row>
    <row r="28" spans="1:4">
      <c r="A28" s="1">
        <v>24</v>
      </c>
      <c r="B28" s="1">
        <v>69</v>
      </c>
      <c r="C28" s="1">
        <v>80</v>
      </c>
      <c r="D28" s="1">
        <v>5725.2</v>
      </c>
    </row>
    <row r="29" spans="1:4">
      <c r="A29" s="1">
        <v>24</v>
      </c>
      <c r="B29" s="1">
        <v>69</v>
      </c>
      <c r="C29" s="1">
        <v>90</v>
      </c>
      <c r="D29" s="1">
        <v>6057.6</v>
      </c>
    </row>
    <row r="30" spans="1:4">
      <c r="A30" s="1">
        <v>24</v>
      </c>
      <c r="B30" s="1">
        <v>69</v>
      </c>
      <c r="C30" s="1">
        <v>100</v>
      </c>
      <c r="D30" s="1">
        <v>6836.4</v>
      </c>
    </row>
    <row r="31" spans="1:4">
      <c r="A31" s="1">
        <v>24</v>
      </c>
      <c r="B31" s="1">
        <v>69</v>
      </c>
      <c r="C31" s="1">
        <v>100</v>
      </c>
      <c r="D31" s="1">
        <v>6930</v>
      </c>
    </row>
    <row r="32" spans="1:4">
      <c r="A32" s="1">
        <v>24</v>
      </c>
      <c r="B32" s="1">
        <v>69</v>
      </c>
      <c r="C32" s="1">
        <v>90</v>
      </c>
      <c r="D32" s="1">
        <v>6735.6</v>
      </c>
    </row>
    <row r="33" spans="1:4">
      <c r="A33" s="1">
        <v>24</v>
      </c>
      <c r="B33" s="1">
        <v>69</v>
      </c>
      <c r="C33" s="1">
        <v>80</v>
      </c>
      <c r="D33" s="1">
        <v>2798.4</v>
      </c>
    </row>
    <row r="34" spans="1:4">
      <c r="A34" s="1">
        <v>24</v>
      </c>
      <c r="B34" s="1">
        <v>69</v>
      </c>
      <c r="C34" s="1">
        <v>70</v>
      </c>
      <c r="D34" s="1">
        <v>1808.4</v>
      </c>
    </row>
    <row r="35" spans="1:4">
      <c r="A35" s="1">
        <v>24</v>
      </c>
      <c r="B35" s="1">
        <v>69</v>
      </c>
      <c r="C35" s="1">
        <v>60</v>
      </c>
      <c r="D35" s="1">
        <v>2155.1999999999998</v>
      </c>
    </row>
    <row r="36" spans="1:4">
      <c r="A36" s="1">
        <v>24</v>
      </c>
      <c r="B36" s="1">
        <v>69</v>
      </c>
      <c r="C36" s="1">
        <v>60</v>
      </c>
      <c r="D36" s="1">
        <v>2335.1999999999998</v>
      </c>
    </row>
    <row r="37" spans="1:4">
      <c r="A37" s="1">
        <v>24</v>
      </c>
      <c r="B37" s="1">
        <v>69</v>
      </c>
      <c r="C37" s="1">
        <v>50</v>
      </c>
      <c r="D37" s="1">
        <v>2068.8000000000002</v>
      </c>
    </row>
    <row r="38" spans="1:4">
      <c r="A38" s="1">
        <v>24</v>
      </c>
      <c r="B38" s="1">
        <v>69</v>
      </c>
      <c r="C38" s="1">
        <v>40</v>
      </c>
      <c r="D38" s="1">
        <v>1593.6</v>
      </c>
    </row>
    <row r="39" spans="1:4">
      <c r="A39" s="1">
        <v>24</v>
      </c>
      <c r="B39" s="1">
        <v>69</v>
      </c>
      <c r="C39" s="1">
        <v>30</v>
      </c>
      <c r="D39" s="1">
        <v>472.8</v>
      </c>
    </row>
    <row r="40" spans="1:4">
      <c r="A40" s="1">
        <v>24</v>
      </c>
      <c r="B40" s="1">
        <v>69</v>
      </c>
      <c r="C40" s="1">
        <v>20</v>
      </c>
      <c r="D40" s="1">
        <v>619.20000000000005</v>
      </c>
    </row>
    <row r="41" spans="1:4">
      <c r="A41" s="1">
        <v>24</v>
      </c>
      <c r="B41" s="1">
        <v>69</v>
      </c>
      <c r="C41" s="1">
        <v>10</v>
      </c>
      <c r="D41" s="1">
        <v>1252.8</v>
      </c>
    </row>
    <row r="42" spans="1:4">
      <c r="A42" s="1">
        <v>24</v>
      </c>
      <c r="B42" s="1">
        <v>69</v>
      </c>
      <c r="C42" s="1">
        <v>10</v>
      </c>
      <c r="D42" s="1">
        <v>576</v>
      </c>
    </row>
    <row r="43" spans="1:4">
      <c r="A43" s="1">
        <v>24</v>
      </c>
      <c r="B43" s="1">
        <v>69</v>
      </c>
      <c r="C43" s="1">
        <v>0</v>
      </c>
      <c r="D43" s="1">
        <v>289.2</v>
      </c>
    </row>
    <row r="44" spans="1:4">
      <c r="A44" s="1">
        <v>24</v>
      </c>
      <c r="B44" s="1">
        <v>69</v>
      </c>
      <c r="C44" s="1">
        <v>10</v>
      </c>
      <c r="D44" s="1">
        <v>429.6</v>
      </c>
    </row>
    <row r="45" spans="1:4">
      <c r="A45" s="1">
        <v>24</v>
      </c>
      <c r="B45" s="1">
        <v>69</v>
      </c>
      <c r="C45" s="1">
        <v>20</v>
      </c>
      <c r="D45" s="1">
        <v>430.8</v>
      </c>
    </row>
    <row r="46" spans="1:4">
      <c r="A46" s="1">
        <v>24</v>
      </c>
      <c r="B46" s="1">
        <v>69</v>
      </c>
      <c r="C46" s="1">
        <v>30</v>
      </c>
      <c r="D46" s="1">
        <v>776.4</v>
      </c>
    </row>
    <row r="47" spans="1:4">
      <c r="A47" s="1">
        <v>24</v>
      </c>
      <c r="B47" s="1">
        <v>69</v>
      </c>
      <c r="C47" s="1">
        <v>30</v>
      </c>
      <c r="D47" s="1">
        <v>661.2</v>
      </c>
    </row>
    <row r="48" spans="1:4">
      <c r="A48" s="1">
        <v>24</v>
      </c>
      <c r="B48" s="1">
        <v>69</v>
      </c>
      <c r="C48" s="1">
        <v>40</v>
      </c>
      <c r="D48" s="1">
        <v>1453.2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64F4-4982-4C2C-B2AE-11E62A311105}">
  <dimension ref="A1:AI23"/>
  <sheetViews>
    <sheetView workbookViewId="0">
      <selection sqref="A1:D5"/>
    </sheetView>
  </sheetViews>
  <sheetFormatPr defaultRowHeight="15"/>
  <cols>
    <col min="1" max="1" width="12.7109375" customWidth="1"/>
    <col min="2" max="2" width="13" customWidth="1"/>
    <col min="3" max="3" width="27.140625" customWidth="1"/>
    <col min="4" max="4" width="10.140625" customWidth="1"/>
    <col min="5" max="5" width="10.42578125" customWidth="1"/>
    <col min="6" max="6" width="10.140625" customWidth="1"/>
    <col min="7" max="7" width="13.28515625" customWidth="1"/>
    <col min="8" max="8" width="13.5703125" customWidth="1"/>
  </cols>
  <sheetData>
    <row r="1" spans="1:35">
      <c r="A1" t="s">
        <v>6</v>
      </c>
      <c r="B1" s="20" t="s">
        <v>7</v>
      </c>
      <c r="C1" s="20"/>
      <c r="D1" s="20"/>
    </row>
    <row r="2" spans="1:35">
      <c r="A2" t="s">
        <v>8</v>
      </c>
      <c r="B2">
        <v>200</v>
      </c>
    </row>
    <row r="3" spans="1:35">
      <c r="A3" t="s">
        <v>9</v>
      </c>
      <c r="B3">
        <v>24</v>
      </c>
    </row>
    <row r="4" spans="1:35">
      <c r="A4" t="s">
        <v>10</v>
      </c>
    </row>
    <row r="5" spans="1:35">
      <c r="A5" t="s">
        <v>11</v>
      </c>
      <c r="B5">
        <f>B3*B4</f>
        <v>0</v>
      </c>
    </row>
    <row r="8" spans="1:35">
      <c r="A8" s="3" t="s">
        <v>12</v>
      </c>
      <c r="C8" s="11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3" t="s">
        <v>18</v>
      </c>
      <c r="I8" t="s">
        <v>19</v>
      </c>
    </row>
    <row r="9" spans="1:35">
      <c r="C9" s="14" t="s">
        <v>20</v>
      </c>
      <c r="D9" s="15">
        <v>3.3</v>
      </c>
      <c r="E9" s="15">
        <v>0.08</v>
      </c>
      <c r="F9" s="15">
        <f>D9*E9</f>
        <v>0.26400000000000001</v>
      </c>
      <c r="G9" s="15">
        <v>100</v>
      </c>
      <c r="H9" s="16">
        <f>F9*(G9/100)</f>
        <v>0.26400000000000001</v>
      </c>
      <c r="I9" s="26" t="s">
        <v>21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35">
      <c r="C10" s="7" t="s">
        <v>22</v>
      </c>
      <c r="D10" s="6">
        <v>3.3</v>
      </c>
      <c r="E10" s="6">
        <v>2.5000000000000001E-3</v>
      </c>
      <c r="F10" s="6">
        <f>D10*E10</f>
        <v>8.2500000000000004E-3</v>
      </c>
      <c r="G10" s="6">
        <v>100</v>
      </c>
      <c r="H10" s="8">
        <f>F10*(G10/100)</f>
        <v>8.2500000000000004E-3</v>
      </c>
      <c r="I10" t="s">
        <v>23</v>
      </c>
    </row>
    <row r="11" spans="1:35">
      <c r="C11" s="7" t="s">
        <v>24</v>
      </c>
      <c r="D11" s="6"/>
      <c r="E11" s="6"/>
      <c r="F11" s="6"/>
      <c r="G11" s="6"/>
      <c r="H11" s="8"/>
    </row>
    <row r="12" spans="1:35">
      <c r="C12" s="7" t="s">
        <v>25</v>
      </c>
      <c r="D12" s="6" t="s">
        <v>26</v>
      </c>
      <c r="E12" s="6" t="s">
        <v>26</v>
      </c>
      <c r="F12" s="6" t="s">
        <v>26</v>
      </c>
      <c r="G12" s="6">
        <v>60</v>
      </c>
      <c r="H12" s="17">
        <v>2.6120000000000001</v>
      </c>
      <c r="I12" s="26" t="s">
        <v>27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>
      <c r="C13" s="7" t="s">
        <v>28</v>
      </c>
      <c r="D13" s="6" t="s">
        <v>26</v>
      </c>
      <c r="E13" s="6" t="s">
        <v>26</v>
      </c>
      <c r="F13" s="6" t="s">
        <v>26</v>
      </c>
      <c r="G13" s="6">
        <v>60</v>
      </c>
      <c r="H13" s="18">
        <f>H12</f>
        <v>2.6120000000000001</v>
      </c>
    </row>
    <row r="14" spans="1:35">
      <c r="C14" s="7" t="s">
        <v>29</v>
      </c>
      <c r="D14" s="6" t="s">
        <v>26</v>
      </c>
      <c r="E14" s="6" t="s">
        <v>26</v>
      </c>
      <c r="F14" s="6" t="s">
        <v>26</v>
      </c>
      <c r="G14" s="6">
        <v>60</v>
      </c>
      <c r="H14" s="18">
        <f>H13</f>
        <v>2.6120000000000001</v>
      </c>
    </row>
    <row r="15" spans="1:35">
      <c r="C15" s="7" t="s">
        <v>30</v>
      </c>
      <c r="D15" s="6">
        <v>5</v>
      </c>
      <c r="E15" s="6"/>
      <c r="F15" s="6"/>
      <c r="G15" s="6"/>
      <c r="H15" s="8"/>
    </row>
    <row r="16" spans="1:35">
      <c r="C16" s="7" t="s">
        <v>31</v>
      </c>
      <c r="D16" s="6"/>
      <c r="E16" s="6"/>
      <c r="F16" s="6"/>
      <c r="G16" s="6"/>
      <c r="H16" s="8"/>
    </row>
    <row r="17" spans="1:9">
      <c r="C17" s="7" t="s">
        <v>32</v>
      </c>
      <c r="D17" s="6"/>
      <c r="E17" s="6"/>
      <c r="F17" s="6"/>
      <c r="G17" s="6"/>
      <c r="H17" s="8"/>
    </row>
    <row r="18" spans="1:9">
      <c r="C18" s="24" t="s">
        <v>33</v>
      </c>
      <c r="D18" s="25"/>
      <c r="E18" s="25"/>
      <c r="F18" s="25"/>
      <c r="G18" s="25"/>
      <c r="H18" s="10">
        <f>SUM(H9:H17)</f>
        <v>8.10825</v>
      </c>
      <c r="I18" t="s">
        <v>34</v>
      </c>
    </row>
    <row r="19" spans="1:9">
      <c r="C19" s="27" t="s">
        <v>35</v>
      </c>
      <c r="D19" s="28"/>
      <c r="E19" s="28"/>
      <c r="F19" s="28"/>
      <c r="G19" s="29"/>
      <c r="H19" s="8">
        <f>H18*24</f>
        <v>194.59800000000001</v>
      </c>
      <c r="I19" t="s">
        <v>36</v>
      </c>
    </row>
    <row r="20" spans="1:9">
      <c r="C20" s="21" t="s">
        <v>37</v>
      </c>
      <c r="D20" s="22"/>
      <c r="E20" s="22"/>
      <c r="F20" s="22"/>
      <c r="G20" s="23"/>
      <c r="H20" s="9"/>
    </row>
    <row r="21" spans="1:9">
      <c r="B21" t="s">
        <v>38</v>
      </c>
      <c r="C21" t="s">
        <v>39</v>
      </c>
      <c r="H21" t="s">
        <v>40</v>
      </c>
    </row>
    <row r="22" spans="1:9">
      <c r="B22" t="s">
        <v>41</v>
      </c>
      <c r="C22" t="s">
        <v>39</v>
      </c>
      <c r="H22" t="s">
        <v>42</v>
      </c>
    </row>
    <row r="23" spans="1:9">
      <c r="A23" s="3" t="s">
        <v>43</v>
      </c>
    </row>
  </sheetData>
  <mergeCells count="6">
    <mergeCell ref="C20:G20"/>
    <mergeCell ref="C18:G18"/>
    <mergeCell ref="I12:AI12"/>
    <mergeCell ref="I9:AC9"/>
    <mergeCell ref="B1:D1"/>
    <mergeCell ref="C19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D9C0-DE0E-4B85-BE59-362CE9563800}">
  <dimension ref="A1:E39"/>
  <sheetViews>
    <sheetView workbookViewId="0">
      <selection sqref="A1:D4"/>
    </sheetView>
  </sheetViews>
  <sheetFormatPr defaultRowHeight="15"/>
  <cols>
    <col min="1" max="1" width="12.42578125" customWidth="1"/>
    <col min="3" max="3" width="16.28515625" customWidth="1"/>
    <col min="4" max="4" width="11.7109375" customWidth="1"/>
  </cols>
  <sheetData>
    <row r="1" spans="1:5">
      <c r="A1" t="s">
        <v>6</v>
      </c>
      <c r="B1" s="30" t="s">
        <v>7</v>
      </c>
      <c r="C1" s="30"/>
      <c r="D1" s="30"/>
    </row>
    <row r="2" spans="1:5">
      <c r="A2" t="s">
        <v>8</v>
      </c>
      <c r="B2">
        <v>200</v>
      </c>
    </row>
    <row r="3" spans="1:5">
      <c r="A3" t="s">
        <v>9</v>
      </c>
      <c r="B3">
        <v>24</v>
      </c>
    </row>
    <row r="4" spans="1:5">
      <c r="A4" t="s">
        <v>11</v>
      </c>
    </row>
    <row r="6" spans="1:5">
      <c r="A6" t="s">
        <v>44</v>
      </c>
      <c r="B6">
        <v>1</v>
      </c>
      <c r="C6" t="s">
        <v>45</v>
      </c>
      <c r="D6" t="s">
        <v>46</v>
      </c>
      <c r="E6" t="s">
        <v>47</v>
      </c>
    </row>
    <row r="7" spans="1:5">
      <c r="C7">
        <v>10</v>
      </c>
    </row>
    <row r="8" spans="1:5">
      <c r="C8">
        <v>20</v>
      </c>
    </row>
    <row r="9" spans="1:5">
      <c r="C9">
        <v>30</v>
      </c>
    </row>
    <row r="10" spans="1:5">
      <c r="C10">
        <v>40</v>
      </c>
    </row>
    <row r="11" spans="1:5">
      <c r="C11">
        <v>50</v>
      </c>
    </row>
    <row r="12" spans="1:5">
      <c r="C12">
        <v>60</v>
      </c>
    </row>
    <row r="13" spans="1:5">
      <c r="C13">
        <v>70</v>
      </c>
    </row>
    <row r="14" spans="1:5">
      <c r="C14">
        <v>80</v>
      </c>
    </row>
    <row r="15" spans="1:5">
      <c r="C15">
        <v>90</v>
      </c>
    </row>
    <row r="16" spans="1:5">
      <c r="C16">
        <v>100</v>
      </c>
    </row>
    <row r="17" spans="1:5">
      <c r="A17" t="s">
        <v>44</v>
      </c>
      <c r="B17">
        <v>2</v>
      </c>
      <c r="C17" t="s">
        <v>45</v>
      </c>
      <c r="D17" t="s">
        <v>46</v>
      </c>
      <c r="E17" t="s">
        <v>47</v>
      </c>
    </row>
    <row r="18" spans="1:5">
      <c r="C18">
        <v>10</v>
      </c>
    </row>
    <row r="19" spans="1:5">
      <c r="C19">
        <v>20</v>
      </c>
    </row>
    <row r="20" spans="1:5">
      <c r="C20">
        <v>30</v>
      </c>
    </row>
    <row r="21" spans="1:5">
      <c r="C21">
        <v>40</v>
      </c>
    </row>
    <row r="22" spans="1:5">
      <c r="C22">
        <v>50</v>
      </c>
    </row>
    <row r="23" spans="1:5">
      <c r="C23">
        <v>60</v>
      </c>
    </row>
    <row r="24" spans="1:5">
      <c r="C24">
        <v>70</v>
      </c>
    </row>
    <row r="25" spans="1:5">
      <c r="C25">
        <v>80</v>
      </c>
    </row>
    <row r="26" spans="1:5">
      <c r="C26">
        <v>90</v>
      </c>
    </row>
    <row r="27" spans="1:5">
      <c r="C27">
        <v>100</v>
      </c>
    </row>
    <row r="28" spans="1:5">
      <c r="A28" t="s">
        <v>44</v>
      </c>
      <c r="B28">
        <v>3</v>
      </c>
      <c r="C28" t="s">
        <v>45</v>
      </c>
      <c r="D28" t="s">
        <v>46</v>
      </c>
      <c r="E28" t="s">
        <v>47</v>
      </c>
    </row>
    <row r="29" spans="1:5">
      <c r="C29">
        <v>10</v>
      </c>
    </row>
    <row r="30" spans="1:5">
      <c r="C30">
        <v>20</v>
      </c>
    </row>
    <row r="31" spans="1:5">
      <c r="C31">
        <v>30</v>
      </c>
    </row>
    <row r="32" spans="1:5">
      <c r="C32">
        <v>40</v>
      </c>
    </row>
    <row r="33" spans="1:5">
      <c r="C33">
        <v>50</v>
      </c>
    </row>
    <row r="34" spans="1:5">
      <c r="C34">
        <v>60</v>
      </c>
    </row>
    <row r="35" spans="1:5">
      <c r="C35">
        <v>70</v>
      </c>
    </row>
    <row r="36" spans="1:5">
      <c r="C36">
        <v>80</v>
      </c>
    </row>
    <row r="37" spans="1:5">
      <c r="C37">
        <v>90</v>
      </c>
    </row>
    <row r="38" spans="1:5">
      <c r="C38">
        <v>100</v>
      </c>
    </row>
    <row r="39" spans="1:5">
      <c r="A39" t="s">
        <v>44</v>
      </c>
      <c r="B39" t="s">
        <v>48</v>
      </c>
      <c r="C39" t="s">
        <v>45</v>
      </c>
      <c r="D39" t="s">
        <v>46</v>
      </c>
      <c r="E39" t="s">
        <v>49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44D1-2448-49F4-A0B6-E23E0803EB3E}">
  <dimension ref="A1:F11"/>
  <sheetViews>
    <sheetView tabSelected="1" workbookViewId="0">
      <selection sqref="A1:C1"/>
    </sheetView>
  </sheetViews>
  <sheetFormatPr defaultRowHeight="15"/>
  <cols>
    <col min="1" max="1" width="12.85546875" customWidth="1"/>
    <col min="2" max="2" width="13.7109375" customWidth="1"/>
    <col min="3" max="3" width="17" customWidth="1"/>
  </cols>
  <sheetData>
    <row r="1" spans="1:6">
      <c r="A1" s="20" t="s">
        <v>50</v>
      </c>
      <c r="B1" s="20"/>
      <c r="C1" s="20"/>
    </row>
    <row r="2" spans="1:6">
      <c r="A2" t="s">
        <v>6</v>
      </c>
      <c r="B2" s="20" t="s">
        <v>7</v>
      </c>
      <c r="C2" s="20"/>
      <c r="D2" s="20"/>
    </row>
    <row r="3" spans="1:6">
      <c r="A3" t="s">
        <v>8</v>
      </c>
      <c r="B3">
        <v>200</v>
      </c>
    </row>
    <row r="4" spans="1:6">
      <c r="A4" t="s">
        <v>9</v>
      </c>
      <c r="B4">
        <v>24</v>
      </c>
    </row>
    <row r="5" spans="1:6">
      <c r="A5" t="s">
        <v>10</v>
      </c>
    </row>
    <row r="6" spans="1:6">
      <c r="A6" t="s">
        <v>11</v>
      </c>
      <c r="B6">
        <f>B4*B5</f>
        <v>0</v>
      </c>
    </row>
    <row r="8" spans="1:6">
      <c r="C8" s="6" t="s">
        <v>51</v>
      </c>
      <c r="D8" s="6">
        <v>220</v>
      </c>
      <c r="E8" t="s">
        <v>36</v>
      </c>
    </row>
    <row r="9" spans="1:6">
      <c r="B9" t="s">
        <v>52</v>
      </c>
      <c r="C9" s="6" t="s">
        <v>53</v>
      </c>
      <c r="D9" s="19">
        <v>4</v>
      </c>
      <c r="E9" t="s">
        <v>54</v>
      </c>
    </row>
    <row r="10" spans="1:6">
      <c r="C10" s="6" t="s">
        <v>55</v>
      </c>
      <c r="D10" s="6">
        <f>D8/D9</f>
        <v>55</v>
      </c>
      <c r="E10" t="s">
        <v>56</v>
      </c>
    </row>
    <row r="11" spans="1:6">
      <c r="C11" s="6" t="s">
        <v>57</v>
      </c>
      <c r="D11" s="6">
        <f>D10*1.5</f>
        <v>82.5</v>
      </c>
      <c r="E11" t="s">
        <v>34</v>
      </c>
      <c r="F11" t="s">
        <v>58</v>
      </c>
    </row>
  </sheetData>
  <mergeCells count="2">
    <mergeCell ref="B2:D2"/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F609-9684-43E3-AB8B-9512264068A7}">
  <dimension ref="A1:K12"/>
  <sheetViews>
    <sheetView workbookViewId="0">
      <selection activeCell="C12" sqref="C12"/>
    </sheetView>
  </sheetViews>
  <sheetFormatPr defaultRowHeight="15"/>
  <cols>
    <col min="3" max="3" width="13.85546875" customWidth="1"/>
  </cols>
  <sheetData>
    <row r="1" spans="1:11">
      <c r="A1" s="20" t="s">
        <v>59</v>
      </c>
      <c r="B1" s="20"/>
      <c r="C1" s="20"/>
      <c r="D1" s="20"/>
      <c r="E1" s="20"/>
      <c r="F1" s="20"/>
      <c r="G1" s="20"/>
      <c r="H1" s="20"/>
      <c r="I1" s="20"/>
    </row>
    <row r="2" spans="1:11">
      <c r="A2" s="30"/>
      <c r="B2" s="30"/>
      <c r="C2" s="30"/>
      <c r="D2" s="30"/>
      <c r="E2" s="30"/>
      <c r="F2" s="30"/>
      <c r="G2" s="30"/>
      <c r="H2" s="30"/>
      <c r="I2" s="30"/>
    </row>
    <row r="4" spans="1:11">
      <c r="C4" s="6" t="s">
        <v>51</v>
      </c>
      <c r="D4" s="6">
        <v>220</v>
      </c>
      <c r="E4" s="6" t="s">
        <v>36</v>
      </c>
    </row>
    <row r="5" spans="1:11">
      <c r="C5" s="6" t="s">
        <v>60</v>
      </c>
      <c r="D5" s="6">
        <f>220/24</f>
        <v>9.1666666666666661</v>
      </c>
      <c r="E5" s="6" t="s">
        <v>34</v>
      </c>
      <c r="F5" s="20" t="s">
        <v>61</v>
      </c>
      <c r="G5" s="20"/>
      <c r="H5" s="20"/>
      <c r="I5" s="20"/>
      <c r="J5" s="20"/>
      <c r="K5" s="20"/>
    </row>
    <row r="10" spans="1:11">
      <c r="C10" t="s">
        <v>62</v>
      </c>
    </row>
    <row r="12" spans="1:11">
      <c r="B12">
        <v>1</v>
      </c>
      <c r="C12" t="s">
        <v>63</v>
      </c>
    </row>
  </sheetData>
  <mergeCells count="3">
    <mergeCell ref="F5:K5"/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E055-200E-4465-A3D4-768700CA525E}">
  <dimension ref="A1"/>
  <sheetViews>
    <sheetView workbookViewId="0">
      <selection activeCell="O4" sqref="O4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E7FA281F0B74BA60BB834EA2717E7" ma:contentTypeVersion="25" ma:contentTypeDescription="Create a new document." ma:contentTypeScope="" ma:versionID="d641753def142d3cfcd8ae84b232e4bb">
  <xsd:schema xmlns:xsd="http://www.w3.org/2001/XMLSchema" xmlns:xs="http://www.w3.org/2001/XMLSchema" xmlns:p="http://schemas.microsoft.com/office/2006/metadata/properties" xmlns:ns2="bbf2e6ad-6f7a-422d-b83f-e82cd3f44a41" xmlns:ns3="4b31d957-4c4a-4252-a24e-78758f0e5812" targetNamespace="http://schemas.microsoft.com/office/2006/metadata/properties" ma:root="true" ma:fieldsID="8d87d41f0b4040221c77e606494cb543" ns2:_="" ns3:_="">
    <xsd:import namespace="bbf2e6ad-6f7a-422d-b83f-e82cd3f44a41"/>
    <xsd:import namespace="4b31d957-4c4a-4252-a24e-78758f0e58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2e6ad-6f7a-422d-b83f-e82cd3f44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1d957-4c4a-4252-a24e-78758f0e581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759522-8e1b-4183-9b9f-172ee43bc26c}" ma:internalName="TaxCatchAll" ma:showField="CatchAllData" ma:web="4b31d957-4c4a-4252-a24e-78758f0e58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f2e6ad-6f7a-422d-b83f-e82cd3f44a41">
      <Terms xmlns="http://schemas.microsoft.com/office/infopath/2007/PartnerControls"/>
    </lcf76f155ced4ddcb4097134ff3c332f>
    <TaxCatchAll xmlns="4b31d957-4c4a-4252-a24e-78758f0e5812" xsi:nil="true"/>
  </documentManagement>
</p:properties>
</file>

<file path=customXml/itemProps1.xml><?xml version="1.0" encoding="utf-8"?>
<ds:datastoreItem xmlns:ds="http://schemas.openxmlformats.org/officeDocument/2006/customXml" ds:itemID="{077CE061-B03C-40F5-9D8F-FF6E10082FFC}"/>
</file>

<file path=customXml/itemProps2.xml><?xml version="1.0" encoding="utf-8"?>
<ds:datastoreItem xmlns:ds="http://schemas.openxmlformats.org/officeDocument/2006/customXml" ds:itemID="{43C0D60A-BEBD-4CAF-895B-C3186765888E}"/>
</file>

<file path=customXml/itemProps3.xml><?xml version="1.0" encoding="utf-8"?>
<ds:datastoreItem xmlns:ds="http://schemas.openxmlformats.org/officeDocument/2006/customXml" ds:itemID="{C6E4208B-4763-4523-BD5A-5AADD6645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2026-09-09T22:40:22Z</dcterms:created>
  <dcterms:modified xsi:type="dcterms:W3CDTF">2026-10-22T13:41:05Z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0x010100D6FE7FA281F0B74BA60BB834EA2717E7</vt:lpwstr>
  </property>
  <property fmtid="{D5CDD505-2E9C-101B-9397-08002B2CF9AE}" pid="3" name="MediaServiceImageTags">
    <vt:lpwstr/>
  </property>
</Properties>
</file>